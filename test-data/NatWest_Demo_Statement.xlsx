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<sst xmlns="http://schemas.openxmlformats.org/spreadsheetml/2006/main" count="135" uniqueCount="108">
  <si>
    <t xml:space="preserve">NatWest Group — SAMPLE / DEMO STATEMENT (SYNTHETIC DATA, NOT REAL)</t>
  </si>
  <si>
    <t xml:space="preserve">This file contains fictitious data generated for software testing / model evaluation purposes only.</t>
  </si>
  <si>
    <t xml:space="preserve">Account Name:</t>
  </si>
  <si>
    <t xml:space="preserve">Mr. J. A. Sample</t>
  </si>
  <si>
    <t xml:space="preserve">Account Number:</t>
  </si>
  <si>
    <t xml:space="preserve">00-00-00 12345678 (fictional)</t>
  </si>
  <si>
    <t xml:space="preserve">Sort Code:</t>
  </si>
  <si>
    <t xml:space="preserve">60-00-01 (fictional)</t>
  </si>
  <si>
    <t xml:space="preserve">Statement Period:</t>
  </si>
  <si>
    <t xml:space="preserve">01 Jun 2026 to 30 Jun 2026</t>
  </si>
  <si>
    <t xml:space="preserve">Currency:</t>
  </si>
  <si>
    <t xml:space="preserve">GBP</t>
  </si>
  <si>
    <t xml:space="preserve">Date</t>
  </si>
  <si>
    <t xml:space="preserve">Description</t>
  </si>
  <si>
    <t xml:space="preserve">Category</t>
  </si>
  <si>
    <t xml:space="preserve">Debit (GBP)</t>
  </si>
  <si>
    <t xml:space="preserve">Credit (GBP)</t>
  </si>
  <si>
    <t xml:space="preserve">Balance (GBP)</t>
  </si>
  <si>
    <t xml:space="preserve">2026-06-01</t>
  </si>
  <si>
    <t xml:space="preserve">Opening Balance Brought Forward</t>
  </si>
  <si>
    <t xml:space="preserve">Balance</t>
  </si>
  <si>
    <t xml:space="preserve">TESCO STORES 2431 PATNA</t>
  </si>
  <si>
    <t xml:space="preserve">Groceries</t>
  </si>
  <si>
    <t xml:space="preserve">SALARY - ACME CORP LTD</t>
  </si>
  <si>
    <t xml:space="preserve">Salary</t>
  </si>
  <si>
    <t xml:space="preserve">2026-06-02</t>
  </si>
  <si>
    <t xml:space="preserve">TFL TRAVEL CHARGE</t>
  </si>
  <si>
    <t xml:space="preserve">Transport</t>
  </si>
  <si>
    <t xml:space="preserve">COSTA COFFEE</t>
  </si>
  <si>
    <t xml:space="preserve">Dining</t>
  </si>
  <si>
    <t xml:space="preserve">2026-06-03</t>
  </si>
  <si>
    <t xml:space="preserve">DIRECT DEBIT - BRITISH GAS</t>
  </si>
  <si>
    <t xml:space="preserve">Utilities</t>
  </si>
  <si>
    <t xml:space="preserve">AMAZON MKTPLACE UK</t>
  </si>
  <si>
    <t xml:space="preserve">Shopping</t>
  </si>
  <si>
    <t xml:space="preserve">2026-06-04</t>
  </si>
  <si>
    <t xml:space="preserve">STANDING ORDER - RENT</t>
  </si>
  <si>
    <t xml:space="preserve">Rent</t>
  </si>
  <si>
    <t xml:space="preserve">PAYPAL *NETFLIX</t>
  </si>
  <si>
    <t xml:space="preserve">Subscriptions</t>
  </si>
  <si>
    <t xml:space="preserve">2026-06-05</t>
  </si>
  <si>
    <t xml:space="preserve">CASH WITHDRAWAL - NATWEST ATM</t>
  </si>
  <si>
    <t xml:space="preserve">Cash</t>
  </si>
  <si>
    <t xml:space="preserve">SAINSBURYS S/MKT</t>
  </si>
  <si>
    <t xml:space="preserve">2026-06-06</t>
  </si>
  <si>
    <t xml:space="preserve">TRANSFER FROM J SMITH</t>
  </si>
  <si>
    <t xml:space="preserve">Transfer In</t>
  </si>
  <si>
    <t xml:space="preserve">2026-06-07</t>
  </si>
  <si>
    <t xml:space="preserve">UBER TRIP</t>
  </si>
  <si>
    <t xml:space="preserve">2026-06-08</t>
  </si>
  <si>
    <t xml:space="preserve">SHELL PETROL STATION</t>
  </si>
  <si>
    <t xml:space="preserve">Fuel</t>
  </si>
  <si>
    <t xml:space="preserve">2026-06-09</t>
  </si>
  <si>
    <t xml:space="preserve">DIRECT DEBIT - VODAFONE</t>
  </si>
  <si>
    <t xml:space="preserve">INTEREST PAID</t>
  </si>
  <si>
    <t xml:space="preserve">Interest</t>
  </si>
  <si>
    <t xml:space="preserve">2026-06-10</t>
  </si>
  <si>
    <t xml:space="preserve">BOOTS PHARMACY</t>
  </si>
  <si>
    <t xml:space="preserve">Health</t>
  </si>
  <si>
    <t xml:space="preserve">2026-06-11</t>
  </si>
  <si>
    <t xml:space="preserve">SPOTIFY PREMIUM</t>
  </si>
  <si>
    <t xml:space="preserve">TRANSFER TO SAVINGS ACCOUNT</t>
  </si>
  <si>
    <t xml:space="preserve">Transfer Out</t>
  </si>
  <si>
    <t xml:space="preserve">2026-06-12</t>
  </si>
  <si>
    <t xml:space="preserve">JOHN LEWIS &amp; PARTNERS</t>
  </si>
  <si>
    <t xml:space="preserve">2026-06-13</t>
  </si>
  <si>
    <t xml:space="preserve">COUNCIL TAX PAYMENT</t>
  </si>
  <si>
    <t xml:space="preserve">2026-06-14</t>
  </si>
  <si>
    <t xml:space="preserve">DEUTSCHE BANK REFUND</t>
  </si>
  <si>
    <t xml:space="preserve">Refund</t>
  </si>
  <si>
    <t xml:space="preserve">2026-06-15</t>
  </si>
  <si>
    <t xml:space="preserve">MARKS &amp; SPENCER</t>
  </si>
  <si>
    <t xml:space="preserve">2026-06-16</t>
  </si>
  <si>
    <t xml:space="preserve">GYM MEMBERSHIP - PURE GYM</t>
  </si>
  <si>
    <t xml:space="preserve">2026-06-17</t>
  </si>
  <si>
    <t xml:space="preserve">CASH DEPOSIT</t>
  </si>
  <si>
    <t xml:space="preserve">Deposit</t>
  </si>
  <si>
    <t xml:space="preserve">2026-06-18</t>
  </si>
  <si>
    <t xml:space="preserve">PRET A MANGER</t>
  </si>
  <si>
    <t xml:space="preserve">2026-06-19</t>
  </si>
  <si>
    <t xml:space="preserve">EE MOBILE BILL</t>
  </si>
  <si>
    <t xml:space="preserve">2026-06-20</t>
  </si>
  <si>
    <t xml:space="preserve">ARGOS RETAIL LTD</t>
  </si>
  <si>
    <t xml:space="preserve">2026-06-21</t>
  </si>
  <si>
    <t xml:space="preserve">SALARY - ACME CORP LTD (BONUS)</t>
  </si>
  <si>
    <t xml:space="preserve">2026-06-22</t>
  </si>
  <si>
    <t xml:space="preserve">2026-06-23</t>
  </si>
  <si>
    <t xml:space="preserve">WAITROSE</t>
  </si>
  <si>
    <t xml:space="preserve">2026-06-24</t>
  </si>
  <si>
    <t xml:space="preserve">DIRECT DEBIT - THAMES WATER</t>
  </si>
  <si>
    <t xml:space="preserve">2026-06-25</t>
  </si>
  <si>
    <t xml:space="preserve">TRANSFER FROM R PATEL</t>
  </si>
  <si>
    <t xml:space="preserve">2026-06-26</t>
  </si>
  <si>
    <t xml:space="preserve">APPLE.COM/BILL</t>
  </si>
  <si>
    <t xml:space="preserve">2026-06-27</t>
  </si>
  <si>
    <t xml:space="preserve">NANDOS RESTAURANT</t>
  </si>
  <si>
    <t xml:space="preserve">2026-06-28</t>
  </si>
  <si>
    <t xml:space="preserve">OVERDRAFT FEE</t>
  </si>
  <si>
    <t xml:space="preserve">Fee</t>
  </si>
  <si>
    <t xml:space="preserve">2026-06-29</t>
  </si>
  <si>
    <t xml:space="preserve">FREELANCE PAYMENT - INVOICE 1042</t>
  </si>
  <si>
    <t xml:space="preserve">Income</t>
  </si>
  <si>
    <t xml:space="preserve">2026-06-30</t>
  </si>
  <si>
    <t xml:space="preserve">STANDING ORDER - CAR INSURANCE</t>
  </si>
  <si>
    <t xml:space="preserve">Insurance</t>
  </si>
  <si>
    <t xml:space="preserve">Total Debits:</t>
  </si>
  <si>
    <t xml:space="preserve">Total Credits:</t>
  </si>
  <si>
    <t xml:space="preserve">Closing Balance: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</si>
</sst>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4B2E8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B2E83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B2E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6" min="4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</row>
    <row r="5" customFormat="false" ht="15" hidden="false" customHeight="false" outlineLevel="0" collapsed="false">
      <c r="A5" s="3" t="s">
        <v>4</v>
      </c>
      <c r="B5" s="4" t="s">
        <v>5</v>
      </c>
      <c r="C5" s="4"/>
      <c r="D5" s="4"/>
    </row>
    <row r="6" customFormat="false" ht="15" hidden="false" customHeight="false" outlineLevel="0" collapsed="false">
      <c r="A6" s="3" t="s">
        <v>6</v>
      </c>
      <c r="B6" s="4" t="s">
        <v>7</v>
      </c>
      <c r="C6" s="4"/>
      <c r="D6" s="4"/>
    </row>
    <row r="7" customFormat="false" ht="15" hidden="false" customHeight="false" outlineLevel="0" collapsed="false">
      <c r="A7" s="3" t="s">
        <v>8</v>
      </c>
      <c r="B7" s="4" t="s">
        <v>9</v>
      </c>
      <c r="C7" s="4"/>
      <c r="D7" s="4"/>
    </row>
    <row r="8" customFormat="false" ht="15" hidden="false" customHeight="false" outlineLevel="0" collapsed="false">
      <c r="A8" s="3" t="s">
        <v>10</v>
      </c>
      <c r="B8" s="4" t="s">
        <v>11</v>
      </c>
      <c r="C8" s="4"/>
      <c r="D8" s="4"/>
    </row>
    <row r="10" customFormat="false" ht="15" hidden="false" customHeight="fals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</row>
    <row r="11" customFormat="false" ht="15" hidden="false" customHeight="false" outlineLevel="0" collapsed="false">
      <c r="A11" s="6" t="s">
        <v>18</v>
      </c>
      <c r="B11" s="6" t="s">
        <v>19</v>
      </c>
      <c r="C11" s="6" t="s">
        <v>20</v>
      </c>
      <c r="D11" s="7"/>
      <c r="E11" s="7"/>
      <c r="F11" s="8" t="n">
        <v>2450</v>
      </c>
    </row>
    <row r="12" customFormat="false" ht="15" hidden="false" customHeight="false" outlineLevel="0" collapsed="false">
      <c r="A12" s="9" t="s">
        <v>18</v>
      </c>
      <c r="B12" s="9" t="s">
        <v>21</v>
      </c>
      <c r="C12" s="9" t="s">
        <v>22</v>
      </c>
      <c r="D12" s="10" t="n">
        <v>42.15</v>
      </c>
      <c r="E12" s="10"/>
      <c r="F12" s="10" t="n">
        <f aca="false">F11+E12-D12</f>
        <v>2407.85</v>
      </c>
    </row>
    <row r="13" customFormat="false" ht="15" hidden="false" customHeight="false" outlineLevel="0" collapsed="false">
      <c r="A13" s="6" t="s">
        <v>18</v>
      </c>
      <c r="B13" s="6" t="s">
        <v>23</v>
      </c>
      <c r="C13" s="6" t="s">
        <v>24</v>
      </c>
      <c r="D13" s="7"/>
      <c r="E13" s="7" t="n">
        <v>2100</v>
      </c>
      <c r="F13" s="7" t="n">
        <f aca="false">F12+E13-D13</f>
        <v>4507.85</v>
      </c>
    </row>
    <row r="14" customFormat="false" ht="15" hidden="false" customHeight="false" outlineLevel="0" collapsed="false">
      <c r="A14" s="9" t="s">
        <v>25</v>
      </c>
      <c r="B14" s="9" t="s">
        <v>26</v>
      </c>
      <c r="C14" s="9" t="s">
        <v>27</v>
      </c>
      <c r="D14" s="10" t="n">
        <v>8.9</v>
      </c>
      <c r="E14" s="10"/>
      <c r="F14" s="10" t="n">
        <f aca="false">F13+E14-D14</f>
        <v>4498.95</v>
      </c>
    </row>
    <row r="15" customFormat="false" ht="15" hidden="false" customHeight="false" outlineLevel="0" collapsed="false">
      <c r="A15" s="6" t="s">
        <v>25</v>
      </c>
      <c r="B15" s="6" t="s">
        <v>28</v>
      </c>
      <c r="C15" s="6" t="s">
        <v>29</v>
      </c>
      <c r="D15" s="7" t="n">
        <v>4.35</v>
      </c>
      <c r="E15" s="7"/>
      <c r="F15" s="7" t="n">
        <f aca="false">F14+E15-D15</f>
        <v>4494.6</v>
      </c>
    </row>
    <row r="16" customFormat="false" ht="15" hidden="false" customHeight="false" outlineLevel="0" collapsed="false">
      <c r="A16" s="9" t="s">
        <v>30</v>
      </c>
      <c r="B16" s="9" t="s">
        <v>31</v>
      </c>
      <c r="C16" s="9" t="s">
        <v>32</v>
      </c>
      <c r="D16" s="10" t="n">
        <v>65</v>
      </c>
      <c r="E16" s="10"/>
      <c r="F16" s="10" t="n">
        <f aca="false">F15+E16-D16</f>
        <v>4429.6</v>
      </c>
    </row>
    <row r="17" customFormat="false" ht="15" hidden="false" customHeight="false" outlineLevel="0" collapsed="false">
      <c r="A17" s="6" t="s">
        <v>30</v>
      </c>
      <c r="B17" s="6" t="s">
        <v>33</v>
      </c>
      <c r="C17" s="6" t="s">
        <v>34</v>
      </c>
      <c r="D17" s="7" t="n">
        <v>27.99</v>
      </c>
      <c r="E17" s="7"/>
      <c r="F17" s="7" t="n">
        <f aca="false">F16+E17-D17</f>
        <v>4401.61</v>
      </c>
    </row>
    <row r="18" customFormat="false" ht="15" hidden="false" customHeight="false" outlineLevel="0" collapsed="false">
      <c r="A18" s="9" t="s">
        <v>35</v>
      </c>
      <c r="B18" s="9" t="s">
        <v>36</v>
      </c>
      <c r="C18" s="9" t="s">
        <v>37</v>
      </c>
      <c r="D18" s="10" t="n">
        <v>750</v>
      </c>
      <c r="E18" s="10"/>
      <c r="F18" s="10" t="n">
        <f aca="false">F17+E18-D18</f>
        <v>3651.61</v>
      </c>
    </row>
    <row r="19" customFormat="false" ht="15" hidden="false" customHeight="false" outlineLevel="0" collapsed="false">
      <c r="A19" s="6" t="s">
        <v>35</v>
      </c>
      <c r="B19" s="6" t="s">
        <v>38</v>
      </c>
      <c r="C19" s="6" t="s">
        <v>39</v>
      </c>
      <c r="D19" s="7" t="n">
        <v>10.99</v>
      </c>
      <c r="E19" s="7"/>
      <c r="F19" s="7" t="n">
        <f aca="false">F18+E19-D19</f>
        <v>3640.62</v>
      </c>
    </row>
    <row r="20" customFormat="false" ht="15" hidden="false" customHeight="false" outlineLevel="0" collapsed="false">
      <c r="A20" s="9" t="s">
        <v>40</v>
      </c>
      <c r="B20" s="9" t="s">
        <v>41</v>
      </c>
      <c r="C20" s="9" t="s">
        <v>42</v>
      </c>
      <c r="D20" s="10" t="n">
        <v>100</v>
      </c>
      <c r="E20" s="10"/>
      <c r="F20" s="10" t="n">
        <f aca="false">F19+E20-D20</f>
        <v>3540.62</v>
      </c>
    </row>
    <row r="21" customFormat="false" ht="15" hidden="false" customHeight="false" outlineLevel="0" collapsed="false">
      <c r="A21" s="6" t="s">
        <v>40</v>
      </c>
      <c r="B21" s="6" t="s">
        <v>43</v>
      </c>
      <c r="C21" s="6" t="s">
        <v>22</v>
      </c>
      <c r="D21" s="7" t="n">
        <v>55.2</v>
      </c>
      <c r="E21" s="7"/>
      <c r="F21" s="7" t="n">
        <f aca="false">F20+E21-D21</f>
        <v>3485.42</v>
      </c>
    </row>
    <row r="22" customFormat="false" ht="15" hidden="false" customHeight="false" outlineLevel="0" collapsed="false">
      <c r="A22" s="9" t="s">
        <v>44</v>
      </c>
      <c r="B22" s="9" t="s">
        <v>45</v>
      </c>
      <c r="C22" s="9" t="s">
        <v>46</v>
      </c>
      <c r="D22" s="10"/>
      <c r="E22" s="10" t="n">
        <v>150</v>
      </c>
      <c r="F22" s="10" t="n">
        <f aca="false">F21+E22-D22</f>
        <v>3635.42</v>
      </c>
    </row>
    <row r="23" customFormat="false" ht="15" hidden="false" customHeight="false" outlineLevel="0" collapsed="false">
      <c r="A23" s="6" t="s">
        <v>47</v>
      </c>
      <c r="B23" s="6" t="s">
        <v>48</v>
      </c>
      <c r="C23" s="6" t="s">
        <v>27</v>
      </c>
      <c r="D23" s="7" t="n">
        <v>12.4</v>
      </c>
      <c r="E23" s="7"/>
      <c r="F23" s="7" t="n">
        <f aca="false">F22+E23-D23</f>
        <v>3623.02</v>
      </c>
    </row>
    <row r="24" customFormat="false" ht="15" hidden="false" customHeight="false" outlineLevel="0" collapsed="false">
      <c r="A24" s="9" t="s">
        <v>49</v>
      </c>
      <c r="B24" s="9" t="s">
        <v>50</v>
      </c>
      <c r="C24" s="9" t="s">
        <v>51</v>
      </c>
      <c r="D24" s="10" t="n">
        <v>48</v>
      </c>
      <c r="E24" s="10"/>
      <c r="F24" s="10" t="n">
        <f aca="false">F23+E24-D24</f>
        <v>3575.02</v>
      </c>
    </row>
    <row r="25" customFormat="false" ht="15" hidden="false" customHeight="false" outlineLevel="0" collapsed="false">
      <c r="A25" s="6" t="s">
        <v>52</v>
      </c>
      <c r="B25" s="6" t="s">
        <v>53</v>
      </c>
      <c r="C25" s="6" t="s">
        <v>32</v>
      </c>
      <c r="D25" s="7" t="n">
        <v>35</v>
      </c>
      <c r="E25" s="7"/>
      <c r="F25" s="7" t="n">
        <f aca="false">F24+E25-D25</f>
        <v>3540.02</v>
      </c>
    </row>
    <row r="26" customFormat="false" ht="15" hidden="false" customHeight="false" outlineLevel="0" collapsed="false">
      <c r="A26" s="9" t="s">
        <v>52</v>
      </c>
      <c r="B26" s="9" t="s">
        <v>54</v>
      </c>
      <c r="C26" s="9" t="s">
        <v>55</v>
      </c>
      <c r="D26" s="10"/>
      <c r="E26" s="10" t="n">
        <v>1.24</v>
      </c>
      <c r="F26" s="10" t="n">
        <f aca="false">F25+E26-D26</f>
        <v>3541.26</v>
      </c>
    </row>
    <row r="27" customFormat="false" ht="15" hidden="false" customHeight="false" outlineLevel="0" collapsed="false">
      <c r="A27" s="6" t="s">
        <v>56</v>
      </c>
      <c r="B27" s="6" t="s">
        <v>57</v>
      </c>
      <c r="C27" s="6" t="s">
        <v>58</v>
      </c>
      <c r="D27" s="7" t="n">
        <v>15.6</v>
      </c>
      <c r="E27" s="7"/>
      <c r="F27" s="7" t="n">
        <f aca="false">F26+E27-D27</f>
        <v>3525.66</v>
      </c>
    </row>
    <row r="28" customFormat="false" ht="15" hidden="false" customHeight="false" outlineLevel="0" collapsed="false">
      <c r="A28" s="9" t="s">
        <v>59</v>
      </c>
      <c r="B28" s="9" t="s">
        <v>60</v>
      </c>
      <c r="C28" s="9" t="s">
        <v>39</v>
      </c>
      <c r="D28" s="10" t="n">
        <v>9.99</v>
      </c>
      <c r="E28" s="10"/>
      <c r="F28" s="10" t="n">
        <f aca="false">F27+E28-D28</f>
        <v>3515.67</v>
      </c>
    </row>
    <row r="29" customFormat="false" ht="15" hidden="false" customHeight="false" outlineLevel="0" collapsed="false">
      <c r="A29" s="6" t="s">
        <v>59</v>
      </c>
      <c r="B29" s="6" t="s">
        <v>61</v>
      </c>
      <c r="C29" s="6" t="s">
        <v>62</v>
      </c>
      <c r="D29" s="7" t="n">
        <v>200</v>
      </c>
      <c r="E29" s="7"/>
      <c r="F29" s="7" t="n">
        <f aca="false">F28+E29-D29</f>
        <v>3315.67</v>
      </c>
    </row>
    <row r="30" customFormat="false" ht="15" hidden="false" customHeight="false" outlineLevel="0" collapsed="false">
      <c r="A30" s="9" t="s">
        <v>63</v>
      </c>
      <c r="B30" s="9" t="s">
        <v>64</v>
      </c>
      <c r="C30" s="9" t="s">
        <v>34</v>
      </c>
      <c r="D30" s="10" t="n">
        <v>89.5</v>
      </c>
      <c r="E30" s="10"/>
      <c r="F30" s="10" t="n">
        <f aca="false">F29+E30-D30</f>
        <v>3226.17</v>
      </c>
    </row>
    <row r="31" customFormat="false" ht="15" hidden="false" customHeight="false" outlineLevel="0" collapsed="false">
      <c r="A31" s="6" t="s">
        <v>65</v>
      </c>
      <c r="B31" s="6" t="s">
        <v>66</v>
      </c>
      <c r="C31" s="6" t="s">
        <v>32</v>
      </c>
      <c r="D31" s="7" t="n">
        <v>145</v>
      </c>
      <c r="E31" s="7"/>
      <c r="F31" s="7" t="n">
        <f aca="false">F30+E31-D31</f>
        <v>3081.17</v>
      </c>
    </row>
    <row r="32" customFormat="false" ht="15" hidden="false" customHeight="false" outlineLevel="0" collapsed="false">
      <c r="A32" s="9" t="s">
        <v>67</v>
      </c>
      <c r="B32" s="9" t="s">
        <v>68</v>
      </c>
      <c r="C32" s="9" t="s">
        <v>69</v>
      </c>
      <c r="D32" s="10"/>
      <c r="E32" s="10" t="n">
        <v>22.5</v>
      </c>
      <c r="F32" s="10" t="n">
        <f aca="false">F31+E32-D32</f>
        <v>3103.67</v>
      </c>
    </row>
    <row r="33" customFormat="false" ht="15" hidden="false" customHeight="false" outlineLevel="0" collapsed="false">
      <c r="A33" s="6" t="s">
        <v>70</v>
      </c>
      <c r="B33" s="6" t="s">
        <v>71</v>
      </c>
      <c r="C33" s="6" t="s">
        <v>22</v>
      </c>
      <c r="D33" s="7" t="n">
        <v>33.1</v>
      </c>
      <c r="E33" s="7"/>
      <c r="F33" s="7" t="n">
        <f aca="false">F32+E33-D33</f>
        <v>3070.57</v>
      </c>
    </row>
    <row r="34" customFormat="false" ht="15" hidden="false" customHeight="false" outlineLevel="0" collapsed="false">
      <c r="A34" s="9" t="s">
        <v>72</v>
      </c>
      <c r="B34" s="9" t="s">
        <v>73</v>
      </c>
      <c r="C34" s="9" t="s">
        <v>39</v>
      </c>
      <c r="D34" s="10" t="n">
        <v>24.99</v>
      </c>
      <c r="E34" s="10"/>
      <c r="F34" s="10" t="n">
        <f aca="false">F33+E34-D34</f>
        <v>3045.58</v>
      </c>
    </row>
    <row r="35" customFormat="false" ht="15" hidden="false" customHeight="false" outlineLevel="0" collapsed="false">
      <c r="A35" s="6" t="s">
        <v>74</v>
      </c>
      <c r="B35" s="6" t="s">
        <v>75</v>
      </c>
      <c r="C35" s="6" t="s">
        <v>76</v>
      </c>
      <c r="D35" s="7"/>
      <c r="E35" s="7" t="n">
        <v>300</v>
      </c>
      <c r="F35" s="7" t="n">
        <f aca="false">F34+E35-D35</f>
        <v>3345.58</v>
      </c>
    </row>
    <row r="36" customFormat="false" ht="15" hidden="false" customHeight="false" outlineLevel="0" collapsed="false">
      <c r="A36" s="9" t="s">
        <v>77</v>
      </c>
      <c r="B36" s="9" t="s">
        <v>78</v>
      </c>
      <c r="C36" s="9" t="s">
        <v>29</v>
      </c>
      <c r="D36" s="10" t="n">
        <v>7.85</v>
      </c>
      <c r="E36" s="10"/>
      <c r="F36" s="10" t="n">
        <f aca="false">F35+E36-D36</f>
        <v>3337.73</v>
      </c>
    </row>
    <row r="37" customFormat="false" ht="15" hidden="false" customHeight="false" outlineLevel="0" collapsed="false">
      <c r="A37" s="6" t="s">
        <v>79</v>
      </c>
      <c r="B37" s="6" t="s">
        <v>80</v>
      </c>
      <c r="C37" s="6" t="s">
        <v>32</v>
      </c>
      <c r="D37" s="7" t="n">
        <v>28</v>
      </c>
      <c r="E37" s="7"/>
      <c r="F37" s="7" t="n">
        <f aca="false">F36+E37-D37</f>
        <v>3309.73</v>
      </c>
    </row>
    <row r="38" customFormat="false" ht="15" hidden="false" customHeight="false" outlineLevel="0" collapsed="false">
      <c r="A38" s="9" t="s">
        <v>81</v>
      </c>
      <c r="B38" s="9" t="s">
        <v>82</v>
      </c>
      <c r="C38" s="9" t="s">
        <v>34</v>
      </c>
      <c r="D38" s="10" t="n">
        <v>62</v>
      </c>
      <c r="E38" s="10"/>
      <c r="F38" s="10" t="n">
        <f aca="false">F37+E38-D38</f>
        <v>3247.73</v>
      </c>
    </row>
    <row r="39" customFormat="false" ht="15" hidden="false" customHeight="false" outlineLevel="0" collapsed="false">
      <c r="A39" s="6" t="s">
        <v>83</v>
      </c>
      <c r="B39" s="6" t="s">
        <v>84</v>
      </c>
      <c r="C39" s="6" t="s">
        <v>24</v>
      </c>
      <c r="D39" s="7"/>
      <c r="E39" s="7" t="n">
        <v>500</v>
      </c>
      <c r="F39" s="7" t="n">
        <f aca="false">F38+E39-D39</f>
        <v>3747.73</v>
      </c>
    </row>
    <row r="40" customFormat="false" ht="15" hidden="false" customHeight="false" outlineLevel="0" collapsed="false">
      <c r="A40" s="9" t="s">
        <v>85</v>
      </c>
      <c r="B40" s="9" t="s">
        <v>26</v>
      </c>
      <c r="C40" s="9" t="s">
        <v>27</v>
      </c>
      <c r="D40" s="10" t="n">
        <v>9.4</v>
      </c>
      <c r="E40" s="10"/>
      <c r="F40" s="10" t="n">
        <f aca="false">F39+E40-D40</f>
        <v>3738.33</v>
      </c>
    </row>
    <row r="41" customFormat="false" ht="15" hidden="false" customHeight="false" outlineLevel="0" collapsed="false">
      <c r="A41" s="6" t="s">
        <v>86</v>
      </c>
      <c r="B41" s="6" t="s">
        <v>87</v>
      </c>
      <c r="C41" s="6" t="s">
        <v>22</v>
      </c>
      <c r="D41" s="7" t="n">
        <v>47.75</v>
      </c>
      <c r="E41" s="7"/>
      <c r="F41" s="7" t="n">
        <f aca="false">F40+E41-D41</f>
        <v>3690.58</v>
      </c>
    </row>
    <row r="42" customFormat="false" ht="15" hidden="false" customHeight="false" outlineLevel="0" collapsed="false">
      <c r="A42" s="9" t="s">
        <v>88</v>
      </c>
      <c r="B42" s="9" t="s">
        <v>89</v>
      </c>
      <c r="C42" s="9" t="s">
        <v>32</v>
      </c>
      <c r="D42" s="10" t="n">
        <v>30</v>
      </c>
      <c r="E42" s="10"/>
      <c r="F42" s="10" t="n">
        <f aca="false">F41+E42-D42</f>
        <v>3660.58</v>
      </c>
    </row>
    <row r="43" customFormat="false" ht="15" hidden="false" customHeight="false" outlineLevel="0" collapsed="false">
      <c r="A43" s="6" t="s">
        <v>90</v>
      </c>
      <c r="B43" s="6" t="s">
        <v>91</v>
      </c>
      <c r="C43" s="6" t="s">
        <v>46</v>
      </c>
      <c r="D43" s="7"/>
      <c r="E43" s="7" t="n">
        <v>75</v>
      </c>
      <c r="F43" s="7" t="n">
        <f aca="false">F42+E43-D43</f>
        <v>3735.58</v>
      </c>
    </row>
    <row r="44" customFormat="false" ht="15" hidden="false" customHeight="false" outlineLevel="0" collapsed="false">
      <c r="A44" s="9" t="s">
        <v>92</v>
      </c>
      <c r="B44" s="9" t="s">
        <v>93</v>
      </c>
      <c r="C44" s="9" t="s">
        <v>39</v>
      </c>
      <c r="D44" s="10" t="n">
        <v>2.99</v>
      </c>
      <c r="E44" s="10"/>
      <c r="F44" s="10" t="n">
        <f aca="false">F43+E44-D44</f>
        <v>3732.59</v>
      </c>
    </row>
    <row r="45" customFormat="false" ht="15" hidden="false" customHeight="false" outlineLevel="0" collapsed="false">
      <c r="A45" s="6" t="s">
        <v>94</v>
      </c>
      <c r="B45" s="6" t="s">
        <v>95</v>
      </c>
      <c r="C45" s="6" t="s">
        <v>29</v>
      </c>
      <c r="D45" s="7" t="n">
        <v>22.4</v>
      </c>
      <c r="E45" s="7"/>
      <c r="F45" s="7" t="n">
        <f aca="false">F44+E45-D45</f>
        <v>3710.19</v>
      </c>
    </row>
    <row r="46" customFormat="false" ht="15" hidden="false" customHeight="false" outlineLevel="0" collapsed="false">
      <c r="A46" s="9" t="s">
        <v>96</v>
      </c>
      <c r="B46" s="9" t="s">
        <v>97</v>
      </c>
      <c r="C46" s="9" t="s">
        <v>98</v>
      </c>
      <c r="D46" s="10" t="n">
        <v>5</v>
      </c>
      <c r="E46" s="10"/>
      <c r="F46" s="10" t="n">
        <f aca="false">F45+E46-D46</f>
        <v>3705.19</v>
      </c>
    </row>
    <row r="47" customFormat="false" ht="15" hidden="false" customHeight="false" outlineLevel="0" collapsed="false">
      <c r="A47" s="6" t="s">
        <v>99</v>
      </c>
      <c r="B47" s="6" t="s">
        <v>100</v>
      </c>
      <c r="C47" s="6" t="s">
        <v>101</v>
      </c>
      <c r="D47" s="7"/>
      <c r="E47" s="7" t="n">
        <v>350</v>
      </c>
      <c r="F47" s="7" t="n">
        <f aca="false">F46+E47-D47</f>
        <v>4055.19</v>
      </c>
    </row>
    <row r="48" customFormat="false" ht="15" hidden="false" customHeight="false" outlineLevel="0" collapsed="false">
      <c r="A48" s="9" t="s">
        <v>102</v>
      </c>
      <c r="B48" s="9" t="s">
        <v>103</v>
      </c>
      <c r="C48" s="9" t="s">
        <v>104</v>
      </c>
      <c r="D48" s="10" t="n">
        <v>55</v>
      </c>
      <c r="E48" s="10"/>
      <c r="F48" s="10" t="n">
        <f aca="false">F47+E48-D48</f>
        <v>4000.19</v>
      </c>
    </row>
    <row r="50" customFormat="false" ht="15" hidden="false" customHeight="false" outlineLevel="0" collapsed="false">
      <c r="C50" s="3" t="s">
        <v>105</v>
      </c>
      <c r="D50" s="11" t="n">
        <f aca="false">SUM(D11:D48)</f>
        <v>1948.55</v>
      </c>
    </row>
    <row r="51" customFormat="false" ht="15" hidden="false" customHeight="false" outlineLevel="0" collapsed="false">
      <c r="C51" s="3" t="s">
        <v>106</v>
      </c>
      <c r="E51" s="11" t="n">
        <f aca="false">SUM(E11:E48)</f>
        <v>3498.74</v>
      </c>
    </row>
    <row r="52" customFormat="false" ht="15" hidden="false" customHeight="false" outlineLevel="0" collapsed="false">
      <c r="C52" s="3" t="s">
        <v>107</v>
      </c>
      <c r="F52" s="12" t="n">
        <f aca="false">F48</f>
        <v>4000.19</v>
      </c>
    </row>
  </sheetData>
  <mergeCells count="7">
    <mergeCell ref="A1:F1"/>
    <mergeCell ref="A2:F2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2026-07-07T09:21:59Z</dcterms:created>
  <dc:creator>openpyxl</dc:creator>
  <dc:description/>
  <dc:language>en-US</dc:language>
  <cp:lastModifiedBy/>
  <dcterms:modified xsi:type="dcterms:W3CDTF">2026-07-07T09:21:59Z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